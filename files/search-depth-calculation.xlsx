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ev\MDPN\MDPN\mdpn\misc\"/>
    </mc:Choice>
  </mc:AlternateContent>
  <xr:revisionPtr revIDLastSave="0" documentId="13_ncr:1_{E0C69280-4892-4737-919B-B1428F7AFE10}" xr6:coauthVersionLast="46" xr6:coauthVersionMax="46" xr10:uidLastSave="{00000000-0000-0000-0000-000000000000}"/>
  <bookViews>
    <workbookView xWindow="2760" yWindow="30" windowWidth="23295" windowHeight="15195" xr2:uid="{4741E60A-B054-4B55-9DEE-31BC1EB7A16A}"/>
  </bookViews>
  <sheets>
    <sheet name="Расчёт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F8" i="2" a="1"/>
  <c r="F8" i="2" s="1"/>
  <c r="F4" i="2" a="1"/>
  <c r="F4" i="2" s="1"/>
  <c r="G18" i="2"/>
  <c r="F24" i="2" l="1"/>
  <c r="F25" i="2" s="1"/>
  <c r="F12" i="2" l="1"/>
  <c r="G12" i="2" l="1"/>
  <c r="I7" i="2" s="1"/>
  <c r="J7" i="2" s="1"/>
  <c r="I25" i="2" l="1"/>
  <c r="J25" i="2" s="1"/>
  <c r="I24" i="2"/>
  <c r="J24" i="2" s="1"/>
  <c r="I23" i="2"/>
  <c r="J23" i="2" s="1"/>
  <c r="I6" i="2"/>
  <c r="J6" i="2" s="1"/>
  <c r="I16" i="2"/>
  <c r="J16" i="2" s="1"/>
  <c r="I19" i="2"/>
  <c r="J19" i="2" s="1"/>
  <c r="I3" i="2"/>
  <c r="J3" i="2" s="1"/>
  <c r="I17" i="2"/>
  <c r="J17" i="2" s="1"/>
  <c r="I12" i="2"/>
  <c r="J12" i="2" s="1"/>
  <c r="I8" i="2"/>
  <c r="J8" i="2" s="1"/>
  <c r="G16" i="2" s="1"/>
  <c r="I22" i="2"/>
  <c r="J22" i="2" s="1"/>
  <c r="I9" i="2"/>
  <c r="J9" i="2" s="1"/>
  <c r="I13" i="2"/>
  <c r="J13" i="2" s="1"/>
  <c r="I5" i="2"/>
  <c r="J5" i="2" s="1"/>
  <c r="I10" i="2"/>
  <c r="J10" i="2" s="1"/>
  <c r="I15" i="2"/>
  <c r="J15" i="2" s="1"/>
  <c r="I11" i="2"/>
  <c r="J11" i="2" s="1"/>
  <c r="I21" i="2"/>
  <c r="J21" i="2" s="1"/>
  <c r="I18" i="2"/>
  <c r="J18" i="2" s="1"/>
  <c r="I4" i="2"/>
  <c r="J4" i="2" s="1"/>
  <c r="I20" i="2"/>
  <c r="J20" i="2" s="1"/>
  <c r="I14" i="2"/>
  <c r="J14" i="2" s="1"/>
  <c r="F1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Dmitry</author>
  </authors>
  <commentList>
    <comment ref="C2" authorId="0" shapeId="0" xr:uid="{68F05031-7CDF-4E62-8735-E44B030CC715}">
      <text>
        <r>
          <rPr>
            <sz val="9"/>
            <color indexed="81"/>
            <rFont val="Tahoma"/>
            <family val="2"/>
            <charset val="204"/>
          </rPr>
          <t>Самый большой шаг, найденный в диапазоне (не то же самое, что самый большой новый шаг)</t>
        </r>
      </text>
    </comment>
    <comment ref="F18" authorId="0" shapeId="0" xr:uid="{BB498736-ABE3-4BEE-AC45-031C38A4397D}">
      <text>
        <r>
          <rPr>
            <sz val="9"/>
            <color indexed="81"/>
            <rFont val="Tahoma"/>
            <family val="2"/>
            <charset val="204"/>
          </rPr>
          <t>Коэффициент корреляции для исходных данных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<sst xmlns="http://schemas.openxmlformats.org/spreadsheetml/2006/main" count="14" uniqueCount="14">
  <si>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Шаг</t>
  </si>
  <si>
    <t>Значения для расчета</t>
  </si>
  <si>
    <t>Знач.</t>
  </si>
  <si>
    <t>Откл-е</t>
  </si>
  <si>
    <t>Прогноз</t>
  </si>
  <si>
    <t>при SD =</t>
  </si>
  <si>
    <t>#</t>
  </si>
  <si>
    <t>Стандарт. отклонение</t>
  </si>
  <si>
    <t>Вероятность пропустить новый наиболее отложенный палиндром</t>
  </si>
  <si>
    <t>R =</t>
  </si>
  <si>
    <t>Лин. регрессия для
диапазонов 1-23</t>
  </si>
  <si>
    <t>Лин. регрессия для
диапазонов 5-23</t>
  </si>
  <si>
    <t>[1-23]</t>
  </si>
  <si>
    <t>[5-23]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</si>
</sst>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000000%"/>
    <numFmt numFmtId="166" formatCode="0.00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5" tint="-0.249977111117893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sz val="11"/>
      <color theme="0" tint="-0.499984740745262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12" xfId="0" applyNumberFormat="1" applyBorder="1"/>
    <xf numFmtId="164" fontId="0" fillId="0" borderId="13" xfId="0" applyNumberFormat="1" applyBorder="1"/>
    <xf numFmtId="166" fontId="0" fillId="0" borderId="0" xfId="0" applyNumberFormat="1"/>
    <xf numFmtId="0" fontId="0" fillId="6" borderId="14" xfId="0" applyFont="1" applyFill="1" applyBorder="1" applyAlignment="1">
      <alignment horizontal="center" vertical="center" wrapText="1"/>
    </xf>
    <xf numFmtId="10" fontId="0" fillId="6" borderId="15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64" fontId="3" fillId="0" borderId="0" xfId="0" applyNumberFormat="1" applyFont="1"/>
    <xf numFmtId="2" fontId="5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5050"/>
      <color rgb="FFFF33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2D99-9D46-4934-B87B-6C69AD5E6196}">
  <dimension ref="B2:J25"/>
  <sheetViews>
    <sheetView tabSelected="1" workbookViewId="0">
      <selection activeCell="B3" sqref="B3"/>
    </sheetView>
  </sheetViews>
  <sheetFormatPr defaultRowHeight="15" x14ac:dyDescent="0.25"/>
  <cols>
    <col min="1" max="1" width="6.7109375" customWidth="1"/>
    <col min="2" max="2" width="5.7109375" customWidth="1"/>
    <col min="3" max="4" width="8.7109375" customWidth="1"/>
    <col min="5" max="5" width="3.7109375" customWidth="1"/>
    <col min="6" max="7" width="10.7109375" customWidth="1"/>
    <col min="8" max="8" width="3.7109375" customWidth="1"/>
    <col min="9" max="10" width="8.7109375" customWidth="1"/>
  </cols>
  <sheetData>
    <row r="2" spans="2:10" x14ac:dyDescent="0.25">
      <c r="B2" s="6" t="s">
        <v>6</v>
      </c>
      <c r="C2" s="6" t="s">
        <v>0</v>
      </c>
      <c r="D2" s="6" t="s">
        <v>4</v>
      </c>
      <c r="F2" s="20" t="s">
        <v>10</v>
      </c>
      <c r="G2" s="21"/>
      <c r="I2" s="6" t="s">
        <v>2</v>
      </c>
      <c r="J2" s="6" t="s">
        <v>3</v>
      </c>
    </row>
    <row r="3" spans="2:10" x14ac:dyDescent="0.25">
      <c r="B3">
        <v>1</v>
      </c>
      <c r="C3">
        <v>2</v>
      </c>
      <c r="D3" s="30">
        <f>ROUNDUP(B3*$F$12+$G$12+$F$16*$G$23,1)</f>
        <v>83.1</v>
      </c>
      <c r="F3" s="22"/>
      <c r="G3" s="23"/>
      <c r="I3" s="1">
        <f>B3*$F$12+$G$12</f>
        <v>3.0652173913043868</v>
      </c>
      <c r="J3" s="9">
        <f>I3-C3</f>
        <v>1.0652173913043868</v>
      </c>
    </row>
    <row r="4" spans="2:10" x14ac:dyDescent="0.25">
      <c r="B4">
        <v>2</v>
      </c>
      <c r="C4">
        <v>24</v>
      </c>
      <c r="D4" s="30">
        <f>ROUNDUP(B4*$F$12+$G$12+$F$16*$G$23,1)</f>
        <v>96.399999999999991</v>
      </c>
      <c r="F4" s="10" cm="1">
        <f t="array" ref="F4:G4">LINEST(C3:C25,B3:B25)</f>
        <v>13.326086956521735</v>
      </c>
      <c r="G4" s="10">
        <v>-10.260869565217348</v>
      </c>
      <c r="I4" s="1">
        <f t="shared" ref="I4:I23" si="0">B4*$F$12+$G$12</f>
        <v>16.391304347826122</v>
      </c>
      <c r="J4" s="8">
        <f>I4-C4</f>
        <v>-7.6086956521738784</v>
      </c>
    </row>
    <row r="5" spans="2:10" x14ac:dyDescent="0.25">
      <c r="B5">
        <v>3</v>
      </c>
      <c r="C5">
        <v>23</v>
      </c>
      <c r="D5" s="30">
        <f t="shared" ref="D5:D25" si="1">ROUNDUP(B5*$F$12+$G$12+$F$16*$G$23,1)</f>
        <v>109.8</v>
      </c>
      <c r="I5" s="1">
        <f t="shared" si="0"/>
        <v>29.717391304347856</v>
      </c>
      <c r="J5" s="8">
        <f>I5-C5</f>
        <v>6.7173913043478564</v>
      </c>
    </row>
    <row r="6" spans="2:10" ht="15" customHeight="1" x14ac:dyDescent="0.25">
      <c r="B6">
        <v>4</v>
      </c>
      <c r="C6">
        <v>21</v>
      </c>
      <c r="D6" s="30">
        <f t="shared" si="1"/>
        <v>123.1</v>
      </c>
      <c r="F6" s="20" t="s">
        <v>11</v>
      </c>
      <c r="G6" s="21"/>
      <c r="I6" s="1">
        <f t="shared" si="0"/>
        <v>43.043478260869591</v>
      </c>
      <c r="J6" s="8">
        <f>I6-C6</f>
        <v>22.043478260869591</v>
      </c>
    </row>
    <row r="7" spans="2:10" x14ac:dyDescent="0.25">
      <c r="B7">
        <v>5</v>
      </c>
      <c r="C7">
        <v>55</v>
      </c>
      <c r="D7" s="30">
        <f t="shared" si="1"/>
        <v>136.4</v>
      </c>
      <c r="F7" s="22"/>
      <c r="G7" s="23"/>
      <c r="I7" s="1">
        <f t="shared" si="0"/>
        <v>56.369565217391326</v>
      </c>
      <c r="J7" s="8">
        <f t="shared" ref="J7:J23" si="2">I7-C7</f>
        <v>1.369565217391326</v>
      </c>
    </row>
    <row r="8" spans="2:10" x14ac:dyDescent="0.25">
      <c r="B8">
        <v>6</v>
      </c>
      <c r="C8">
        <v>64</v>
      </c>
      <c r="D8" s="30">
        <f t="shared" si="1"/>
        <v>149.69999999999999</v>
      </c>
      <c r="F8" s="10" cm="1">
        <f t="array" ref="F8:G8">LINEST(C7:C25,B7:B25)</f>
        <v>12.945614035087718</v>
      </c>
      <c r="G8" s="10">
        <v>-3.7649122807017363</v>
      </c>
      <c r="I8" s="1">
        <f t="shared" si="0"/>
        <v>69.695652173913061</v>
      </c>
      <c r="J8" s="8">
        <f t="shared" si="2"/>
        <v>5.6956521739130608</v>
      </c>
    </row>
    <row r="9" spans="2:10" x14ac:dyDescent="0.25">
      <c r="B9">
        <v>7</v>
      </c>
      <c r="C9">
        <v>96</v>
      </c>
      <c r="D9" s="30">
        <f t="shared" si="1"/>
        <v>163.1</v>
      </c>
      <c r="I9" s="1">
        <f t="shared" si="0"/>
        <v>83.021739130434796</v>
      </c>
      <c r="J9" s="8">
        <f t="shared" si="2"/>
        <v>-12.978260869565204</v>
      </c>
    </row>
    <row r="10" spans="2:10" ht="15" customHeight="1" x14ac:dyDescent="0.25">
      <c r="B10">
        <v>8</v>
      </c>
      <c r="C10">
        <v>96</v>
      </c>
      <c r="D10" s="30">
        <f t="shared" si="1"/>
        <v>176.4</v>
      </c>
      <c r="F10" s="24" t="s">
        <v>1</v>
      </c>
      <c r="G10" s="25"/>
      <c r="I10" s="1">
        <f t="shared" si="0"/>
        <v>96.34782608695653</v>
      </c>
      <c r="J10" s="8">
        <f t="shared" si="2"/>
        <v>0.34782608695653039</v>
      </c>
    </row>
    <row r="11" spans="2:10" x14ac:dyDescent="0.25">
      <c r="B11">
        <v>9</v>
      </c>
      <c r="C11">
        <v>98</v>
      </c>
      <c r="D11" s="30">
        <f t="shared" si="1"/>
        <v>189.7</v>
      </c>
      <c r="F11" s="26"/>
      <c r="G11" s="27"/>
      <c r="I11" s="1">
        <f t="shared" si="0"/>
        <v>109.67391304347827</v>
      </c>
      <c r="J11" s="8">
        <f t="shared" si="2"/>
        <v>11.673913043478265</v>
      </c>
    </row>
    <row r="12" spans="2:10" x14ac:dyDescent="0.25">
      <c r="B12">
        <v>10</v>
      </c>
      <c r="C12">
        <v>109</v>
      </c>
      <c r="D12" s="30">
        <f t="shared" si="1"/>
        <v>203</v>
      </c>
      <c r="F12" s="10">
        <f>F4</f>
        <v>13.326086956521735</v>
      </c>
      <c r="G12" s="10">
        <f>G4</f>
        <v>-10.260869565217348</v>
      </c>
      <c r="I12" s="1">
        <f t="shared" si="0"/>
        <v>123</v>
      </c>
      <c r="J12" s="8">
        <f t="shared" si="2"/>
        <v>14</v>
      </c>
    </row>
    <row r="13" spans="2:10" x14ac:dyDescent="0.25">
      <c r="B13">
        <v>11</v>
      </c>
      <c r="C13">
        <v>149</v>
      </c>
      <c r="D13" s="30">
        <f t="shared" si="1"/>
        <v>216.4</v>
      </c>
      <c r="I13" s="1">
        <f t="shared" si="0"/>
        <v>136.32608695652172</v>
      </c>
      <c r="J13" s="8">
        <f t="shared" si="2"/>
        <v>-12.673913043478279</v>
      </c>
    </row>
    <row r="14" spans="2:10" x14ac:dyDescent="0.25">
      <c r="B14">
        <v>12</v>
      </c>
      <c r="C14">
        <v>149</v>
      </c>
      <c r="D14" s="30">
        <f t="shared" si="1"/>
        <v>229.7</v>
      </c>
      <c r="F14" s="28" t="s">
        <v>7</v>
      </c>
      <c r="G14" s="29"/>
      <c r="I14" s="1">
        <f t="shared" si="0"/>
        <v>149.65217391304347</v>
      </c>
      <c r="J14" s="8">
        <f t="shared" si="2"/>
        <v>0.65217391304346961</v>
      </c>
    </row>
    <row r="15" spans="2:10" ht="15" customHeight="1" x14ac:dyDescent="0.25">
      <c r="B15">
        <v>13</v>
      </c>
      <c r="C15">
        <v>188</v>
      </c>
      <c r="D15" s="30">
        <f t="shared" si="1"/>
        <v>243</v>
      </c>
      <c r="F15" s="4" t="s">
        <v>12</v>
      </c>
      <c r="G15" s="5" t="s">
        <v>13</v>
      </c>
      <c r="I15" s="1">
        <f t="shared" si="0"/>
        <v>162.97826086956522</v>
      </c>
      <c r="J15" s="8">
        <f t="shared" si="2"/>
        <v>-25.021739130434781</v>
      </c>
    </row>
    <row r="16" spans="2:10" x14ac:dyDescent="0.25">
      <c r="B16">
        <v>14</v>
      </c>
      <c r="C16">
        <v>186</v>
      </c>
      <c r="D16" s="30">
        <f t="shared" si="1"/>
        <v>256.3</v>
      </c>
      <c r="F16" s="2">
        <f>_xlfn.STDEV.P(J3:J25)</f>
        <v>13.331245898349795</v>
      </c>
      <c r="G16" s="31">
        <f>_xlfn.STDEV.P(J7:J25)</f>
        <v>13.517170122402339</v>
      </c>
      <c r="I16" s="1">
        <f t="shared" si="0"/>
        <v>176.30434782608694</v>
      </c>
      <c r="J16" s="8">
        <f t="shared" si="2"/>
        <v>-9.6956521739130608</v>
      </c>
    </row>
    <row r="17" spans="2:10" x14ac:dyDescent="0.25">
      <c r="B17">
        <v>15</v>
      </c>
      <c r="C17">
        <v>201</v>
      </c>
      <c r="D17" s="30">
        <f t="shared" si="1"/>
        <v>269.70000000000005</v>
      </c>
      <c r="I17" s="1">
        <f t="shared" si="0"/>
        <v>189.63043478260866</v>
      </c>
      <c r="J17" s="8">
        <f t="shared" si="2"/>
        <v>-11.36956521739134</v>
      </c>
    </row>
    <row r="18" spans="2:10" x14ac:dyDescent="0.25">
      <c r="B18">
        <v>16</v>
      </c>
      <c r="C18">
        <v>197</v>
      </c>
      <c r="D18" s="30">
        <f t="shared" si="1"/>
        <v>283</v>
      </c>
      <c r="F18" s="11" t="s">
        <v>9</v>
      </c>
      <c r="G18" s="12">
        <f>CORREL(B3:B25,C3:C25)</f>
        <v>0.98881795662234528</v>
      </c>
      <c r="I18" s="1">
        <f t="shared" si="0"/>
        <v>202.95652173913041</v>
      </c>
      <c r="J18" s="8">
        <f t="shared" si="2"/>
        <v>5.9565217391304088</v>
      </c>
    </row>
    <row r="19" spans="2:10" ht="15" customHeight="1" x14ac:dyDescent="0.25">
      <c r="B19">
        <v>17</v>
      </c>
      <c r="C19">
        <v>236</v>
      </c>
      <c r="D19" s="30">
        <f t="shared" si="1"/>
        <v>296.3</v>
      </c>
      <c r="I19" s="1">
        <f t="shared" si="0"/>
        <v>216.28260869565216</v>
      </c>
      <c r="J19" s="8">
        <f t="shared" si="2"/>
        <v>-19.717391304347842</v>
      </c>
    </row>
    <row r="20" spans="2:10" ht="15" customHeight="1" x14ac:dyDescent="0.25">
      <c r="B20">
        <v>18</v>
      </c>
      <c r="C20">
        <v>232</v>
      </c>
      <c r="D20" s="30">
        <f t="shared" si="1"/>
        <v>309.60000000000002</v>
      </c>
      <c r="F20" s="14" t="s">
        <v>8</v>
      </c>
      <c r="G20" s="15"/>
      <c r="I20" s="1">
        <f t="shared" si="0"/>
        <v>229.60869565217388</v>
      </c>
      <c r="J20" s="8">
        <f t="shared" si="2"/>
        <v>-2.3913043478261216</v>
      </c>
    </row>
    <row r="21" spans="2:10" x14ac:dyDescent="0.25">
      <c r="B21">
        <v>19</v>
      </c>
      <c r="C21">
        <v>261</v>
      </c>
      <c r="D21" s="30">
        <f t="shared" si="1"/>
        <v>323</v>
      </c>
      <c r="F21" s="16"/>
      <c r="G21" s="17"/>
      <c r="I21" s="1">
        <f t="shared" si="0"/>
        <v>242.9347826086956</v>
      </c>
      <c r="J21" s="8">
        <f t="shared" si="2"/>
        <v>-18.065217391304401</v>
      </c>
    </row>
    <row r="22" spans="2:10" x14ac:dyDescent="0.25">
      <c r="B22">
        <v>20</v>
      </c>
      <c r="C22">
        <v>258</v>
      </c>
      <c r="D22" s="30">
        <f t="shared" si="1"/>
        <v>336.3</v>
      </c>
      <c r="F22" s="18"/>
      <c r="G22" s="19"/>
      <c r="I22" s="1">
        <f t="shared" si="0"/>
        <v>256.26086956521738</v>
      </c>
      <c r="J22" s="8">
        <f t="shared" si="2"/>
        <v>-1.7391304347826235</v>
      </c>
    </row>
    <row r="23" spans="2:10" x14ac:dyDescent="0.25">
      <c r="B23">
        <v>21</v>
      </c>
      <c r="C23">
        <v>256</v>
      </c>
      <c r="D23" s="30">
        <f t="shared" si="1"/>
        <v>349.6</v>
      </c>
      <c r="F23" s="3" t="s">
        <v>5</v>
      </c>
      <c r="G23" s="7">
        <v>6</v>
      </c>
      <c r="I23" s="1">
        <f t="shared" si="0"/>
        <v>269.58695652173913</v>
      </c>
      <c r="J23" s="8">
        <f t="shared" si="2"/>
        <v>13.586956521739125</v>
      </c>
    </row>
    <row r="24" spans="2:10" x14ac:dyDescent="0.25">
      <c r="B24">
        <v>22</v>
      </c>
      <c r="C24">
        <v>252</v>
      </c>
      <c r="D24" s="30">
        <f t="shared" si="1"/>
        <v>363</v>
      </c>
      <c r="F24" s="13">
        <f>1-_xlfn.NORM.S.DIST(G23,1)</f>
        <v>9.8658770042447941E-10</v>
      </c>
      <c r="G24" s="13"/>
      <c r="I24" s="1">
        <f t="shared" ref="I24" si="3">B24*$F$12+$G$12</f>
        <v>282.91304347826076</v>
      </c>
      <c r="J24" s="8">
        <f t="shared" ref="J24" si="4">I24-C24</f>
        <v>30.913043478260761</v>
      </c>
    </row>
    <row r="25" spans="2:10" x14ac:dyDescent="0.25">
      <c r="B25">
        <v>23</v>
      </c>
      <c r="C25">
        <v>289</v>
      </c>
      <c r="D25" s="30">
        <f t="shared" si="1"/>
        <v>376.3</v>
      </c>
      <c r="F25" s="13" t="str">
        <f>_xlfn.CONCAT("1 : ",FIXED(1/F24,0))</f>
        <v>1 : 1 013 594 635</v>
      </c>
      <c r="G25" s="13"/>
      <c r="I25" s="1">
        <f t="shared" ref="I25" si="5">B25*$F$12+$G$12</f>
        <v>296.23913043478251</v>
      </c>
      <c r="J25" s="8">
        <f t="shared" ref="J25" si="6">I25-C25</f>
        <v>7.2391304347825098</v>
      </c>
    </row>
  </sheetData>
  <mergeCells count="7">
    <mergeCell ref="F25:G25"/>
    <mergeCell ref="F20:G22"/>
    <mergeCell ref="F24:G24"/>
    <mergeCell ref="F2:G3"/>
    <mergeCell ref="F6:G7"/>
    <mergeCell ref="F10:G11"/>
    <mergeCell ref="F14:G14"/>
  </mergeCells>
  <conditionalFormatting sqref="J3:J23">
    <cfRule type="colorScale" priority="3">
      <colorScale>
        <cfvo type="min"/>
        <cfvo type="num" val="0"/>
        <cfvo type="max"/>
        <color rgb="FFFF5050"/>
        <color theme="0"/>
        <color theme="0"/>
      </colorScale>
    </cfRule>
  </conditionalFormatting>
  <conditionalFormatting sqref="J24">
    <cfRule type="colorScale" priority="2">
      <colorScale>
        <cfvo type="min"/>
        <cfvo type="num" val="0"/>
        <cfvo type="max"/>
        <color rgb="FFFF5050"/>
        <color theme="0"/>
        <color theme="0"/>
      </colorScale>
    </cfRule>
  </conditionalFormatting>
  <conditionalFormatting sqref="J25">
    <cfRule type="colorScale" priority="1">
      <colorScale>
        <cfvo type="min"/>
        <cfvo type="num" val="0"/>
        <cfvo type="max"/>
        <color rgb="FFFF5050"/>
        <color theme="0"/>
        <color theme="0"/>
      </colorScale>
    </cfRule>
  </conditionalFormatting>
  <pageMargins left="0.7" right="0.7" top="0.75" bottom="0.75" header="0.3" footer="0.3"/>
  <pageSetup paperSize="9" orientation="portrait" horizontalDpi="4294967293" vertic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Расчёт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</dc:creator>
  <cp:lastModifiedBy>Dmitry</cp:lastModifiedBy>
  <dcterms:created xsi:type="dcterms:W3CDTF">2020-10-03T05:20:11Z</dcterms:created>
  <dcterms:modified xsi:type="dcterms:W3CDTF">2021-04-01T13:51:59Z</dcterms:modified>
</cp:coreProperties>
</file>